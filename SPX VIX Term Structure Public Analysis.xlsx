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ti\Downloads\"/>
    </mc:Choice>
  </mc:AlternateContent>
  <xr:revisionPtr revIDLastSave="0" documentId="13_ncr:1_{43F2A2BD-4B31-451F-BD7A-6FE29AAE5B05}" xr6:coauthVersionLast="47" xr6:coauthVersionMax="47" xr10:uidLastSave="{00000000-0000-0000-0000-000000000000}"/>
  <bookViews>
    <workbookView xWindow="-108" yWindow="-108" windowWidth="23256" windowHeight="13896" firstSheet="2" activeTab="7" xr2:uid="{00000000-000D-0000-FFFF-FFFF00000000}"/>
  </bookViews>
  <sheets>
    <sheet name="Project Guide" sheetId="1" r:id="rId1"/>
    <sheet name="Regime Summary" sheetId="2" r:id="rId2"/>
    <sheet name="Spread Statistics" sheetId="3" r:id="rId3"/>
    <sheet name="Ratios Slopes" sheetId="4" r:id="rId4"/>
    <sheet name="Inversion Frequencies" sheetId="5" r:id="rId5"/>
    <sheet name="Sensitivity Contrasts" sheetId="6" r:id="rId6"/>
    <sheet name="Data Dictionary" sheetId="7" r:id="rId7"/>
    <sheet name="Source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<sst xmlns="http://schemas.openxmlformats.org/spreadsheetml/2006/main" count="358" uniqueCount="178">
  <si>
    <t>SPX Historical-Volatility Regimes and the VIX Short-End Term Structure</t>
  </si>
  <si>
    <t>Item</t>
  </si>
  <si>
    <t>Details</t>
  </si>
  <si>
    <t>Purpose</t>
  </si>
  <si>
    <t>Public analytical companion to the final paper by Mattia Mancinelli.</t>
  </si>
  <si>
    <t>Final sample</t>
  </si>
  <si>
    <t>918 trading sessions, 2023-02-01 to 2026-09-29.</t>
  </si>
  <si>
    <t>Baseline classification</t>
  </si>
  <si>
    <t>HV20: rolling 20-session SPX historical volatility.</t>
  </si>
  <si>
    <t>Sensitivity classification</t>
  </si>
  <si>
    <t>HV10: rolling 10-session SPX historical volatility.</t>
  </si>
  <si>
    <t>Approach</t>
  </si>
  <si>
    <t>Descriptive and comparative. No formal hypothesis tests or confidence intervals are included.</t>
  </si>
  <si>
    <t>What is included</t>
  </si>
  <si>
    <t>Verified aggregate results used in the final paper: regime thresholds, index levels, spread statistics, ratios, slopes, inversion frequencies, and HV20/HV10 median contrasts.</t>
  </si>
  <si>
    <t>What is excluded</t>
  </si>
  <si>
    <t>The obsolete bootstrap worksheet from the working file and raw third-party daily index data.</t>
  </si>
  <si>
    <t>Why raw data are excluded</t>
  </si>
  <si>
    <t>The public workbook is designed to document the analysis without redistributing third-party historical index series.</t>
  </si>
  <si>
    <t>Paper item</t>
  </si>
  <si>
    <t>Workbook location</t>
  </si>
  <si>
    <t>Table 1 — regime thresholds and sample composition</t>
  </si>
  <si>
    <t>Figure 1 — average VIX1D/VIX9D/VIX term structure</t>
  </si>
  <si>
    <t>Figure 2 / Appendix A — spread distributions</t>
  </si>
  <si>
    <t>Figure 3 — inversion frequencies</t>
  </si>
  <si>
    <t>Table 2 — HV20/HV10 median-spread contrasts</t>
  </si>
  <si>
    <t>Appendix B — spread statistics</t>
  </si>
  <si>
    <t>Appendix B — median ratios and slopes</t>
  </si>
  <si>
    <t>Regime Classification Summary</t>
  </si>
  <si>
    <t>Classification</t>
  </si>
  <si>
    <t>P25 threshold (%)</t>
  </si>
  <si>
    <t>P75 threshold (%)</t>
  </si>
  <si>
    <t>Low n</t>
  </si>
  <si>
    <t>Normal n</t>
  </si>
  <si>
    <t>High n</t>
  </si>
  <si>
    <t>Total n</t>
  </si>
  <si>
    <t>Regime changes</t>
  </si>
  <si>
    <t>Change frequency (%)</t>
  </si>
  <si>
    <t>Average spell (sessions)</t>
  </si>
  <si>
    <t>HV20</t>
  </si>
  <si>
    <t>HV10</t>
  </si>
  <si>
    <t>Average implied-volatility index levels by regime</t>
  </si>
  <si>
    <t>Horizon</t>
  </si>
  <si>
    <t>Low</t>
  </si>
  <si>
    <t>Normal</t>
  </si>
  <si>
    <t>High</t>
  </si>
  <si>
    <t>VIX1D (1D)</t>
  </si>
  <si>
    <t>VIX9D (9D)</t>
  </si>
  <si>
    <t>VIX (30D)</t>
  </si>
  <si>
    <t>Spread Distribution Statistics</t>
  </si>
  <si>
    <t>Spread</t>
  </si>
  <si>
    <t>Regime</t>
  </si>
  <si>
    <t>Mean</t>
  </si>
  <si>
    <t>Median</t>
  </si>
  <si>
    <t>P25</t>
  </si>
  <si>
    <t>P75</t>
  </si>
  <si>
    <t>IQR</t>
  </si>
  <si>
    <t>1D-9D</t>
  </si>
  <si>
    <t>9D-30D</t>
  </si>
  <si>
    <t>1D-30D</t>
  </si>
  <si>
    <t>Median Ratios and Horizon-Normalized Slopes</t>
  </si>
  <si>
    <t>Measure</t>
  </si>
  <si>
    <t>VIX1D / VIX9D</t>
  </si>
  <si>
    <t>VIX9D / VIX</t>
  </si>
  <si>
    <t>VIX1D / VIX</t>
  </si>
  <si>
    <t>1D-9D slope</t>
  </si>
  <si>
    <t>9D-30D slope</t>
  </si>
  <si>
    <t>1D-30D slope</t>
  </si>
  <si>
    <t>Pairwise and Full Inversion Frequencies</t>
  </si>
  <si>
    <t>Inversion</t>
  </si>
  <si>
    <t>Full</t>
  </si>
  <si>
    <t>Observed Median-Spread Contrasts: HV20 vs HV10</t>
  </si>
  <si>
    <t>Comparison</t>
  </si>
  <si>
    <t>HV20 median difference</t>
  </si>
  <si>
    <t>HV10 median difference</t>
  </si>
  <si>
    <t>Low - Normal</t>
  </si>
  <si>
    <t>High - Normal</t>
  </si>
  <si>
    <t>Data Dictionary</t>
  </si>
  <si>
    <t>Variable / Measure</t>
  </si>
  <si>
    <t>Definition</t>
  </si>
  <si>
    <t>Unit / Interpretation</t>
  </si>
  <si>
    <t>Public-release note</t>
  </si>
  <si>
    <t>Published daily closing level of the S&amp;P 500 Index.</t>
  </si>
  <si>
    <t>Index points</t>
  </si>
  <si>
    <t>Raw third-party daily values are not redistributed in this public workbook.</t>
  </si>
  <si>
    <t>Published daily closing level of Cboe VIX1D.</t>
  </si>
  <si>
    <t>Volatility index points</t>
  </si>
  <si>
    <t>Pre-launch observations are Cboe back-tested historical values.</t>
  </si>
  <si>
    <t>Published daily closing level of Cboe VIX9D.</t>
  </si>
  <si>
    <t>Published daily closing level of Cboe VIX.</t>
  </si>
  <si>
    <t>ln(SPX_t / SPX_t-1).</t>
  </si>
  <si>
    <t>Decimal daily return</t>
  </si>
  <si>
    <t>Used to construct HV10 and HV20.</t>
  </si>
  <si>
    <t>Sample standard deviation of 10 daily SPX log returns, annualized with sqrt(252).</t>
  </si>
  <si>
    <t>Annualized volatility (%)</t>
  </si>
  <si>
    <t>Shorter-window regime classification.</t>
  </si>
  <si>
    <t>Sample standard deviation of 20 daily SPX log returns, annualized with sqrt(252).</t>
  </si>
  <si>
    <t>Baseline regime classification.</t>
  </si>
  <si>
    <t>Low below P25; Normal from P25 through P75 inclusive; High above P75.</t>
  </si>
  <si>
    <t>Categorical</t>
  </si>
  <si>
    <t>Thresholds are sample-specific and retrospective.</t>
  </si>
  <si>
    <t>VIX1D - VIX9D.</t>
  </si>
  <si>
    <t>Positive = pairwise inversion.</t>
  </si>
  <si>
    <t>VIX9D - VIX.</t>
  </si>
  <si>
    <t>VIX1D - VIX.</t>
  </si>
  <si>
    <t>Algebraically equals the sum of the two adjacent spreads.</t>
  </si>
  <si>
    <t>VIX1D / VIX9D.</t>
  </si>
  <si>
    <t>Ratio</t>
  </si>
  <si>
    <t>Above 1 = inversion.</t>
  </si>
  <si>
    <t>VIX9D / VIX.</t>
  </si>
  <si>
    <t>VIX1D / VIX.</t>
  </si>
  <si>
    <t>(VIX9D - VIX1D) / 8.</t>
  </si>
  <si>
    <t>Volatility points per nominal day</t>
  </si>
  <si>
    <t>Descriptive normalization; target-horizon conventions are not uniform.</t>
  </si>
  <si>
    <t>(VIX - VIX9D) / 21.</t>
  </si>
  <si>
    <t>Descriptive normalization.</t>
  </si>
  <si>
    <t>(VIX - VIX1D) / 29.</t>
  </si>
  <si>
    <t>1 when VIX1D &gt; VIX9D, else 0.</t>
  </si>
  <si>
    <t>Binary</t>
  </si>
  <si>
    <t>Pairwise inversion indicator.</t>
  </si>
  <si>
    <t>1 when VIX9D &gt; VIX, else 0.</t>
  </si>
  <si>
    <t>1 when VIX1D &gt; VIX, else 0.</t>
  </si>
  <si>
    <t>1 when VIX1D &gt; VIX9D &gt; VIX, else 0.</t>
  </si>
  <si>
    <t>Full short-end inversion.</t>
  </si>
  <si>
    <t>Sources and Publication Notes</t>
  </si>
  <si>
    <t>Source</t>
  </si>
  <si>
    <t>Use in project</t>
  </si>
  <si>
    <t>URL</t>
  </si>
  <si>
    <t>Publication note</t>
  </si>
  <si>
    <t>Cboe Global Markets</t>
  </si>
  <si>
    <t>VIX and other volatility-index historical values</t>
  </si>
  <si>
    <t>https://www.cboe.com/tradable-products/vix/vix-historical-data/</t>
  </si>
  <si>
    <t>Public source page; raw daily index values are not redistributed in this public workbook.</t>
  </si>
  <si>
    <t>Cboe VIX1D Dashboard</t>
  </si>
  <si>
    <t>VIX1D historical information</t>
  </si>
  <si>
    <t>https://www.cboe.com/us/indices/dashboard/vix1d/</t>
  </si>
  <si>
    <t>VIX1D launched April 24, 2023.</t>
  </si>
  <si>
    <t>Cboe Global Indices</t>
  </si>
  <si>
    <t>VIX1D methodology</t>
  </si>
  <si>
    <t>https://cdn.cboe.com/api/global/us_indices/governance/Volatility_Index_Methodology_Cboe_1-Day_Volatility_Index.pdf</t>
  </si>
  <si>
    <t>Methodology reference.</t>
  </si>
  <si>
    <t>Selected SPX target expected-volatility term-index methodology</t>
  </si>
  <si>
    <t>https://cdn.cboe.com/api/global/us_indices/governance/Volatility_Index_Methodology_Selected_SPX_Target_Expected_Volatility_Term_Indices.pdf</t>
  </si>
  <si>
    <t>VIX1D back-tested-history revision note</t>
  </si>
  <si>
    <t>https://cdn.cboe.com/resources/release_notes/2023/Enhancements-to-the-Cboe-1-Day-Volatility-Index-Back-tested-History.pdf</t>
  </si>
  <si>
    <t>Documents pre-launch back-tested history.</t>
  </si>
  <si>
    <t>FRED / S&amp;P Dow Jones Indices LLC</t>
  </si>
  <si>
    <t>S&amp;P 500 daily closing values (SP500 series)</t>
  </si>
  <si>
    <t>https://fred.stlouisfed.org/series/SP500</t>
  </si>
  <si>
    <t>SPX source used in the project.</t>
  </si>
  <si>
    <t>Regime Summary</t>
  </si>
  <si>
    <t>Spread Statistics (aggregate distribution statistics)</t>
  </si>
  <si>
    <t>Inversion Frequencies</t>
  </si>
  <si>
    <t>Sensitivity Contrasts</t>
  </si>
  <si>
    <t>Spread Statistics</t>
  </si>
  <si>
    <t>Ratios Slopes</t>
  </si>
  <si>
    <t>SPX Close</t>
  </si>
  <si>
    <t>VIX1D Close</t>
  </si>
  <si>
    <t>VIX9D Close</t>
  </si>
  <si>
    <t>VIX Close</t>
  </si>
  <si>
    <t>SPX Log Return</t>
  </si>
  <si>
    <t>SPX HV10 Ann</t>
  </si>
  <si>
    <t>SPX HV20 Ann</t>
  </si>
  <si>
    <t>HV10 Regime</t>
  </si>
  <si>
    <t>HV20 Regime</t>
  </si>
  <si>
    <t>Spread 9D/30D</t>
  </si>
  <si>
    <t>Spread 1D/9D</t>
  </si>
  <si>
    <t>Spread 1D/30D</t>
  </si>
  <si>
    <t>Ratio 1D/9D</t>
  </si>
  <si>
    <t>Ratio9D/30D</t>
  </si>
  <si>
    <t>Ratio 1D/30D</t>
  </si>
  <si>
    <t>Slope 1D/9D</t>
  </si>
  <si>
    <t>Slope 9D/30D</t>
  </si>
  <si>
    <t>Slope 1D/30D</t>
  </si>
  <si>
    <t>Inv 1D/9D</t>
  </si>
  <si>
    <t>Inv 9D/30D</t>
  </si>
  <si>
    <t>Inv 1D/30D</t>
  </si>
  <si>
    <t>Full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</si>
</sst>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;[Red]\(0.000\);\-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2" fontId="0" fillId="0" borderId="0" xfId="1" applyNumberFormat="1" applyFont="1"/>
    <xf numFmtId="0" fontId="3" fillId="2" borderId="0" xfId="1" applyFont="1" applyFill="1" applyAlignment="1">
      <alignment horizontal="left"/>
    </xf>
    <xf numFmtId="0" fontId="1" fillId="3" borderId="0" xfId="1" applyFont="1" applyFill="1" applyAlignment="1">
      <alignment horizontal="left" vertical="center"/>
    </xf>
    <xf numFmtId="0" fontId="2" fillId="3" borderId="0" xfId="1" applyFont="1" applyFill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2" fillId="3" borderId="1" xfId="1" applyFont="1" applyFill="1" applyBorder="1" applyAlignment="1">
      <alignment horizontal="center" vertical="center" wrapText="1"/>
    </xf>
    <xf numFmtId="2" fontId="0" fillId="0" borderId="1" xfId="1" applyNumberFormat="1" applyFont="1" applyBorder="1"/>
    <xf numFmtId="1" fontId="0" fillId="0" borderId="1" xfId="1" applyNumberFormat="1" applyFont="1" applyBorder="1"/>
    <xf numFmtId="0" fontId="0" fillId="0" borderId="1" xfId="0" applyBorder="1"/>
    <xf numFmtId="165" fontId="0" fillId="0" borderId="1" xfId="1" applyNumberFormat="1" applyFont="1" applyBorder="1"/>
    <xf numFmtId="10" fontId="0" fillId="0" borderId="1" xfId="1" applyNumberFormat="1" applyFont="1" applyBorder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Average VIX Short-End Term Structure — HV20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Low</c:v>
          </c:tx>
          <c:marker>
            <c:symbol val="none"/>
          </c:marker>
          <c:cat>
            <c:strRef>
              <c:f>'Regime Summary'!$B$9:$B$11</c:f>
              <c:strCache>
                <c:ptCount val="3"/>
                <c:pt idx="0">
                  <c:v>VIX1D (1D)</c:v>
                </c:pt>
                <c:pt idx="1">
                  <c:v>VIX9D (9D)</c:v>
                </c:pt>
                <c:pt idx="2">
                  <c:v>VIX (30D)</c:v>
                </c:pt>
              </c:strCache>
            </c:strRef>
          </c:cat>
          <c:val>
            <c:numRef>
              <c:f>'Regime Summary'!$C$9:$C$11</c:f>
              <c:numCache>
                <c:formatCode>0.00</c:formatCode>
                <c:ptCount val="3"/>
                <c:pt idx="0">
                  <c:v>11.144869565217393</c:v>
                </c:pt>
                <c:pt idx="1">
                  <c:v>13.438565217391305</c:v>
                </c:pt>
                <c:pt idx="2">
                  <c:v>15.083347826086952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9C-4524-BF1D-B567185AE93E}"/>
            </c:ext>
          </c:extLst>
        </c:ser>
        <c:ser>
          <c:idx val="1"/>
          <c:order val="1"/>
          <c:tx>
            <c:v>Normal</c:v>
          </c:tx>
          <c:marker>
            <c:symbol val="none"/>
          </c:marker>
          <c:cat>
            <c:strRef>
              <c:f>'Regime Summary'!$B$9:$B$11</c:f>
              <c:strCache>
                <c:ptCount val="3"/>
                <c:pt idx="0">
                  <c:v>VIX1D (1D)</c:v>
                </c:pt>
                <c:pt idx="1">
                  <c:v>VIX9D (9D)</c:v>
                </c:pt>
                <c:pt idx="2">
                  <c:v>VIX (30D)</c:v>
                </c:pt>
              </c:strCache>
            </c:strRef>
          </c:cat>
          <c:val>
            <c:numRef>
              <c:f>'Regime Summary'!$D$9:$D$11</c:f>
              <c:numCache>
                <c:formatCode>0.00</c:formatCode>
                <c:ptCount val="3"/>
                <c:pt idx="0">
                  <c:v>13.919301310043664</c:v>
                </c:pt>
                <c:pt idx="1">
                  <c:v>15.744104803493462</c:v>
                </c:pt>
                <c:pt idx="2">
                  <c:v>16.801091703056763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9C-4524-BF1D-B567185AE93E}"/>
            </c:ext>
          </c:extLst>
        </c:ser>
        <c:ser>
          <c:idx val="2"/>
          <c:order val="2"/>
          <c:tx>
            <c:v>High</c:v>
          </c:tx>
          <c:marker>
            <c:symbol val="none"/>
          </c:marker>
          <c:cat>
            <c:strRef>
              <c:f>'Regime Summary'!$B$9:$B$11</c:f>
              <c:strCache>
                <c:ptCount val="3"/>
                <c:pt idx="0">
                  <c:v>VIX1D (1D)</c:v>
                </c:pt>
                <c:pt idx="1">
                  <c:v>VIX9D (9D)</c:v>
                </c:pt>
                <c:pt idx="2">
                  <c:v>VIX (30D)</c:v>
                </c:pt>
              </c:strCache>
            </c:strRef>
          </c:cat>
          <c:val>
            <c:numRef>
              <c:f>'Regime Summary'!$E$9:$E$11</c:f>
              <c:numCache>
                <c:formatCode>0.00</c:formatCode>
                <c:ptCount val="3"/>
                <c:pt idx="0">
                  <c:v>19.099130434782623</c:v>
                </c:pt>
                <c:pt idx="1">
                  <c:v>20.20182608695653</c:v>
                </c:pt>
                <c:pt idx="2">
                  <c:v>20.525608695652156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9C-4524-BF1D-B567185AE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2"/>
          <c:min val="7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Inversion Frequency by Regime — HV20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Low</c:v>
          </c:tx>
          <c:invertIfNegative val="1"/>
          <c:cat>
            <c:strRef>
              <c:f>'Inversion Frequencies'!$B$4:$B$7</c:f>
              <c:strCache>
                <c:ptCount val="4"/>
                <c:pt idx="0">
                  <c:v>1D-9D</c:v>
                </c:pt>
                <c:pt idx="1">
                  <c:v>9D-30D</c:v>
                </c:pt>
                <c:pt idx="2">
                  <c:v>1D-30D</c:v>
                </c:pt>
                <c:pt idx="3">
                  <c:v>Full</c:v>
                </c:pt>
              </c:strCache>
            </c:strRef>
          </c:cat>
          <c:val>
            <c:numRef>
              <c:f>'Inversion Frequencies'!$C$4:$C$7</c:f>
              <c:numCache>
                <c:formatCode>0.00%</c:formatCode>
                <c:ptCount val="4"/>
                <c:pt idx="0">
                  <c:v>0.14782608695652175</c:v>
                </c:pt>
                <c:pt idx="1">
                  <c:v>9.5652173913043481E-2</c:v>
                </c:pt>
                <c:pt idx="2">
                  <c:v>6.5217391304347824E-2</c:v>
                </c:pt>
                <c:pt idx="3">
                  <c:v>2.1739130434782608E-2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6-4A96-8F53-9D34C611BE9C}"/>
            </c:ext>
          </c:extLst>
        </c:ser>
        <c:ser>
          <c:idx val="1"/>
          <c:order val="1"/>
          <c:tx>
            <c:v>Normal</c:v>
          </c:tx>
          <c:invertIfNegative val="1"/>
          <c:cat>
            <c:strRef>
              <c:f>'Inversion Frequencies'!$B$4:$B$7</c:f>
              <c:strCache>
                <c:ptCount val="4"/>
                <c:pt idx="0">
                  <c:v>1D-9D</c:v>
                </c:pt>
                <c:pt idx="1">
                  <c:v>9D-30D</c:v>
                </c:pt>
                <c:pt idx="2">
                  <c:v>1D-30D</c:v>
                </c:pt>
                <c:pt idx="3">
                  <c:v>Full</c:v>
                </c:pt>
              </c:strCache>
            </c:strRef>
          </c:cat>
          <c:val>
            <c:numRef>
              <c:f>'Inversion Frequencies'!$D$4:$D$7</c:f>
              <c:numCache>
                <c:formatCode>0.00%</c:formatCode>
                <c:ptCount val="4"/>
                <c:pt idx="0">
                  <c:v>0.18340611353711792</c:v>
                </c:pt>
                <c:pt idx="1">
                  <c:v>0.19213973799126638</c:v>
                </c:pt>
                <c:pt idx="2">
                  <c:v>0.1331877729257642</c:v>
                </c:pt>
                <c:pt idx="3">
                  <c:v>4.3668122270742356E-2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6-4A96-8F53-9D34C611BE9C}"/>
            </c:ext>
          </c:extLst>
        </c:ser>
        <c:ser>
          <c:idx val="2"/>
          <c:order val="2"/>
          <c:tx>
            <c:v>High</c:v>
          </c:tx>
          <c:invertIfNegative val="1"/>
          <c:cat>
            <c:strRef>
              <c:f>'Inversion Frequencies'!$B$4:$B$7</c:f>
              <c:strCache>
                <c:ptCount val="4"/>
                <c:pt idx="0">
                  <c:v>1D-9D</c:v>
                </c:pt>
                <c:pt idx="1">
                  <c:v>9D-30D</c:v>
                </c:pt>
                <c:pt idx="2">
                  <c:v>1D-30D</c:v>
                </c:pt>
                <c:pt idx="3">
                  <c:v>Full</c:v>
                </c:pt>
              </c:strCache>
            </c:strRef>
          </c:cat>
          <c:val>
            <c:numRef>
              <c:f>'Inversion Frequencies'!$E$4:$E$7</c:f>
              <c:numCache>
                <c:formatCode>0.00%</c:formatCode>
                <c:ptCount val="4"/>
                <c:pt idx="0">
                  <c:v>0.29130434782608694</c:v>
                </c:pt>
                <c:pt idx="1">
                  <c:v>0.31739130434782609</c:v>
                </c:pt>
                <c:pt idx="2">
                  <c:v>0.24347826086956523</c:v>
                </c:pt>
                <c:pt idx="3">
                  <c:v>0.11739130434782609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46-4A96-8F53-9D34C611B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1356360</xdr:colOff>
      <xdr:row>16</xdr:row>
      <xdr:rowOff>22860</xdr:rowOff>
    </xdr:from>
    <xdr:to>
      <xdr:col>6</xdr:col>
      <xdr:colOff>22860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13</xdr:row>
      <xdr:rowOff>160020</xdr:rowOff>
    </xdr:from>
    <xdr:to>
      <xdr:col>5</xdr:col>
      <xdr:colOff>0</xdr:colOff>
      <xdr:row>30</xdr:row>
      <xdr:rowOff>7620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pane ySplit="3" topLeftCell="A7" activePane="bottomLeft" state="frozen"/>
      <selection pane="bottomLeft" activeCell="B20" sqref="B20"/>
    </sheetView>
  </sheetViews>
  <sheetFormatPr defaultRowHeight="13.8"/>
  <cols>
    <col min="1" max="1" width="28" customWidth="1"/>
    <col min="2" max="2" width="82" customWidth="1"/>
  </cols>
  <sheetData>
    <row r="1" spans="1:6" ht="28.05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3" spans="1:6">
      <c r="A3" s="7" t="s">
        <v>1</v>
      </c>
      <c r="B3" s="7" t="s">
        <v>2</v>
      </c>
    </row>
    <row r="4" spans="1:6">
      <c r="A4" s="5" t="s">
        <v>3</v>
      </c>
      <c r="B4" s="6" t="s">
        <v>4</v>
      </c>
    </row>
    <row r="5" spans="1:6">
      <c r="A5" s="5" t="s">
        <v>5</v>
      </c>
      <c r="B5" s="6" t="s">
        <v>6</v>
      </c>
    </row>
    <row r="6" spans="1:6">
      <c r="A6" s="5" t="s">
        <v>7</v>
      </c>
      <c r="B6" s="6" t="s">
        <v>8</v>
      </c>
    </row>
    <row r="7" spans="1:6">
      <c r="A7" s="5" t="s">
        <v>9</v>
      </c>
      <c r="B7" s="6" t="s">
        <v>10</v>
      </c>
    </row>
    <row r="8" spans="1:6">
      <c r="A8" s="5" t="s">
        <v>11</v>
      </c>
      <c r="B8" s="6" t="s">
        <v>12</v>
      </c>
    </row>
    <row r="9" spans="1:6" ht="27.6">
      <c r="A9" s="5" t="s">
        <v>13</v>
      </c>
      <c r="B9" s="6" t="s">
        <v>14</v>
      </c>
    </row>
    <row r="10" spans="1:6">
      <c r="A10" s="5" t="s">
        <v>15</v>
      </c>
      <c r="B10" s="6" t="s">
        <v>16</v>
      </c>
    </row>
    <row r="11" spans="1:6" ht="27.6">
      <c r="A11" s="5" t="s">
        <v>17</v>
      </c>
      <c r="B11" s="6" t="s">
        <v>18</v>
      </c>
    </row>
    <row r="13" spans="1:6">
      <c r="A13" s="7" t="s">
        <v>19</v>
      </c>
      <c r="B13" s="7" t="s">
        <v>20</v>
      </c>
    </row>
    <row r="14" spans="1:6" ht="27.6">
      <c r="A14" s="5" t="s">
        <v>21</v>
      </c>
      <c r="B14" s="6" t="s">
        <v>150</v>
      </c>
    </row>
    <row r="15" spans="1:6" ht="41.4">
      <c r="A15" s="5" t="s">
        <v>22</v>
      </c>
      <c r="B15" s="6" t="s">
        <v>150</v>
      </c>
    </row>
    <row r="16" spans="1:6" ht="27.6">
      <c r="A16" s="5" t="s">
        <v>23</v>
      </c>
      <c r="B16" s="6" t="s">
        <v>151</v>
      </c>
    </row>
    <row r="17" spans="1:2" ht="27.6">
      <c r="A17" s="5" t="s">
        <v>24</v>
      </c>
      <c r="B17" s="6" t="s">
        <v>152</v>
      </c>
    </row>
    <row r="18" spans="1:2" ht="27.6">
      <c r="A18" s="5" t="s">
        <v>25</v>
      </c>
      <c r="B18" s="6" t="s">
        <v>153</v>
      </c>
    </row>
    <row r="19" spans="1:2" ht="27.6">
      <c r="A19" s="5" t="s">
        <v>26</v>
      </c>
      <c r="B19" s="6" t="s">
        <v>154</v>
      </c>
    </row>
    <row r="20" spans="1:2" ht="27.6">
      <c r="A20" s="5" t="s">
        <v>27</v>
      </c>
      <c r="B20" s="6" t="s">
        <v>155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pane ySplit="3" topLeftCell="A13" activePane="bottomLeft" state="frozen"/>
      <selection pane="bottomLeft" activeCell="H18" sqref="H18"/>
    </sheetView>
  </sheetViews>
  <sheetFormatPr defaultRowHeight="13.8"/>
  <cols>
    <col min="1" max="1" width="18" customWidth="1"/>
    <col min="2" max="2" width="22" customWidth="1"/>
    <col min="3" max="10" width="18" customWidth="1"/>
  </cols>
  <sheetData>
    <row r="1" spans="1:10" ht="28.05" customHeight="1">
      <c r="A1" s="3" t="s">
        <v>28</v>
      </c>
      <c r="B1" s="3" t="s">
        <v>28</v>
      </c>
      <c r="C1" s="3" t="s">
        <v>28</v>
      </c>
      <c r="D1" s="3" t="s">
        <v>28</v>
      </c>
      <c r="E1" s="3" t="s">
        <v>28</v>
      </c>
      <c r="F1" s="3" t="s">
        <v>28</v>
      </c>
      <c r="G1" s="3" t="s">
        <v>28</v>
      </c>
      <c r="H1" s="3" t="s">
        <v>28</v>
      </c>
      <c r="I1" s="3" t="s">
        <v>28</v>
      </c>
      <c r="J1" s="3" t="s">
        <v>28</v>
      </c>
    </row>
    <row r="3" spans="1:10" ht="27.6">
      <c r="A3" s="7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37</v>
      </c>
      <c r="J3" s="7" t="s">
        <v>38</v>
      </c>
    </row>
    <row r="4" spans="1:10">
      <c r="A4" s="8" t="s">
        <v>39</v>
      </c>
      <c r="B4" s="8">
        <v>10.155189294836198</v>
      </c>
      <c r="C4" s="8">
        <v>14.577988341008925</v>
      </c>
      <c r="D4" s="9">
        <v>230</v>
      </c>
      <c r="E4" s="9">
        <v>458</v>
      </c>
      <c r="F4" s="9">
        <v>230</v>
      </c>
      <c r="G4" s="9">
        <v>918</v>
      </c>
      <c r="H4" s="9">
        <v>75</v>
      </c>
      <c r="I4" s="8">
        <v>8.18</v>
      </c>
      <c r="J4" s="8">
        <v>12.1</v>
      </c>
    </row>
    <row r="5" spans="1:10">
      <c r="A5" s="8" t="s">
        <v>40</v>
      </c>
      <c r="B5" s="8">
        <v>9.4209162419974355</v>
      </c>
      <c r="C5" s="8">
        <v>14.952594509017787</v>
      </c>
      <c r="D5" s="9">
        <v>230</v>
      </c>
      <c r="E5" s="9">
        <v>458</v>
      </c>
      <c r="F5" s="9">
        <v>230</v>
      </c>
      <c r="G5" s="9">
        <v>918</v>
      </c>
      <c r="H5" s="9">
        <v>114</v>
      </c>
      <c r="I5" s="8">
        <v>12.43</v>
      </c>
      <c r="J5" s="8">
        <v>8</v>
      </c>
    </row>
    <row r="7" spans="1:10">
      <c r="A7" s="2" t="s">
        <v>41</v>
      </c>
      <c r="B7" s="2"/>
      <c r="C7" s="2"/>
      <c r="D7" s="2"/>
      <c r="E7" s="2"/>
    </row>
    <row r="8" spans="1:10">
      <c r="A8" s="7" t="s">
        <v>29</v>
      </c>
      <c r="B8" s="7" t="s">
        <v>42</v>
      </c>
      <c r="C8" s="7" t="s">
        <v>43</v>
      </c>
      <c r="D8" s="7" t="s">
        <v>44</v>
      </c>
      <c r="E8" s="7" t="s">
        <v>45</v>
      </c>
    </row>
    <row r="9" spans="1:10">
      <c r="A9" s="10" t="s">
        <v>39</v>
      </c>
      <c r="B9" s="10" t="s">
        <v>46</v>
      </c>
      <c r="C9" s="8">
        <v>11.144869565217393</v>
      </c>
      <c r="D9" s="8">
        <v>13.919301310043664</v>
      </c>
      <c r="E9" s="8">
        <v>19.099130434782623</v>
      </c>
    </row>
    <row r="10" spans="1:10">
      <c r="A10" s="10" t="s">
        <v>39</v>
      </c>
      <c r="B10" s="10" t="s">
        <v>47</v>
      </c>
      <c r="C10" s="8">
        <v>13.438565217391305</v>
      </c>
      <c r="D10" s="8">
        <v>15.744104803493462</v>
      </c>
      <c r="E10" s="8">
        <v>20.20182608695653</v>
      </c>
    </row>
    <row r="11" spans="1:10">
      <c r="A11" s="10" t="s">
        <v>39</v>
      </c>
      <c r="B11" s="10" t="s">
        <v>48</v>
      </c>
      <c r="C11" s="8">
        <v>15.083347826086952</v>
      </c>
      <c r="D11" s="8">
        <v>16.801091703056763</v>
      </c>
      <c r="E11" s="8">
        <v>20.525608695652156</v>
      </c>
    </row>
    <row r="12" spans="1:10">
      <c r="A12" s="10" t="s">
        <v>40</v>
      </c>
      <c r="B12" s="10" t="s">
        <v>46</v>
      </c>
      <c r="C12" s="8">
        <v>10.984173913043485</v>
      </c>
      <c r="D12" s="8">
        <v>13.701899563318777</v>
      </c>
      <c r="E12" s="8">
        <v>19.692739130434795</v>
      </c>
    </row>
    <row r="13" spans="1:10">
      <c r="A13" s="10" t="s">
        <v>40</v>
      </c>
      <c r="B13" s="10" t="s">
        <v>47</v>
      </c>
      <c r="C13" s="8">
        <v>13.268695652173914</v>
      </c>
      <c r="D13" s="8">
        <v>15.52995633187774</v>
      </c>
      <c r="E13" s="8">
        <v>20.798130434782625</v>
      </c>
    </row>
    <row r="14" spans="1:10">
      <c r="A14" s="10" t="s">
        <v>40</v>
      </c>
      <c r="B14" s="10" t="s">
        <v>48</v>
      </c>
      <c r="C14" s="8">
        <v>14.934826086956512</v>
      </c>
      <c r="D14" s="8">
        <v>16.749235807860263</v>
      </c>
      <c r="E14" s="8">
        <v>20.777391304347802</v>
      </c>
    </row>
    <row r="15" spans="1:10">
      <c r="C15" s="1"/>
      <c r="D15" s="1"/>
      <c r="E15" s="1"/>
    </row>
  </sheetData>
  <mergeCells count="2">
    <mergeCell ref="A1:J1"/>
    <mergeCell ref="A7:E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3" topLeftCell="A4" activePane="bottomLeft" state="frozen"/>
      <selection pane="bottomLeft" activeCell="C34" sqref="C34"/>
    </sheetView>
  </sheetViews>
  <sheetFormatPr defaultRowHeight="13.8"/>
  <cols>
    <col min="1" max="1" width="16" customWidth="1"/>
    <col min="2" max="2" width="14" customWidth="1"/>
    <col min="3" max="8" width="16" customWidth="1"/>
  </cols>
  <sheetData>
    <row r="1" spans="1:8" ht="28.05" customHeight="1">
      <c r="A1" s="3" t="s">
        <v>49</v>
      </c>
      <c r="B1" s="3" t="s">
        <v>49</v>
      </c>
      <c r="C1" s="3" t="s">
        <v>49</v>
      </c>
      <c r="D1" s="3" t="s">
        <v>49</v>
      </c>
      <c r="E1" s="3" t="s">
        <v>49</v>
      </c>
      <c r="F1" s="3" t="s">
        <v>49</v>
      </c>
      <c r="G1" s="3" t="s">
        <v>49</v>
      </c>
      <c r="H1" s="3" t="s">
        <v>49</v>
      </c>
    </row>
    <row r="3" spans="1:8">
      <c r="A3" s="7" t="s">
        <v>29</v>
      </c>
      <c r="B3" s="7" t="s">
        <v>50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  <c r="H3" s="7" t="s">
        <v>56</v>
      </c>
    </row>
    <row r="4" spans="1:8">
      <c r="A4" s="10" t="s">
        <v>39</v>
      </c>
      <c r="B4" s="10" t="s">
        <v>57</v>
      </c>
      <c r="C4" s="10" t="s">
        <v>43</v>
      </c>
      <c r="D4" s="11">
        <v>-2.2936956521739131</v>
      </c>
      <c r="E4" s="11">
        <v>-2.3750000000000009</v>
      </c>
      <c r="F4" s="11">
        <v>-3.6300000000000003</v>
      </c>
      <c r="G4" s="11">
        <v>-0.93999999999999861</v>
      </c>
      <c r="H4" s="11">
        <v>2.6900000000000017</v>
      </c>
    </row>
    <row r="5" spans="1:8">
      <c r="A5" s="10" t="s">
        <v>39</v>
      </c>
      <c r="B5" s="10" t="s">
        <v>57</v>
      </c>
      <c r="C5" s="10" t="s">
        <v>44</v>
      </c>
      <c r="D5" s="11">
        <v>-1.8248034934497803</v>
      </c>
      <c r="E5" s="11">
        <v>-1.9399999999999995</v>
      </c>
      <c r="F5" s="11">
        <v>-3.4374999999999987</v>
      </c>
      <c r="G5" s="11">
        <v>-0.4399999999999995</v>
      </c>
      <c r="H5" s="11">
        <v>2.9974999999999992</v>
      </c>
    </row>
    <row r="6" spans="1:8">
      <c r="A6" s="10" t="s">
        <v>39</v>
      </c>
      <c r="B6" s="10" t="s">
        <v>57</v>
      </c>
      <c r="C6" s="10" t="s">
        <v>45</v>
      </c>
      <c r="D6" s="11">
        <v>-1.1026956521739126</v>
      </c>
      <c r="E6" s="11">
        <v>-1.8149999999999995</v>
      </c>
      <c r="F6" s="11">
        <v>-3.3574999999999977</v>
      </c>
      <c r="G6" s="11">
        <v>0.3100000000000005</v>
      </c>
      <c r="H6" s="11">
        <v>3.6674999999999982</v>
      </c>
    </row>
    <row r="7" spans="1:8">
      <c r="A7" s="10" t="s">
        <v>39</v>
      </c>
      <c r="B7" s="10" t="s">
        <v>58</v>
      </c>
      <c r="C7" s="10" t="s">
        <v>43</v>
      </c>
      <c r="D7" s="11">
        <v>-1.644782608695651</v>
      </c>
      <c r="E7" s="11">
        <v>-1.6099999999999994</v>
      </c>
      <c r="F7" s="11">
        <v>-2.58</v>
      </c>
      <c r="G7" s="11">
        <v>-0.84999999999999831</v>
      </c>
      <c r="H7" s="11">
        <v>1.7300000000000018</v>
      </c>
    </row>
    <row r="8" spans="1:8">
      <c r="A8" s="10" t="s">
        <v>39</v>
      </c>
      <c r="B8" s="10" t="s">
        <v>58</v>
      </c>
      <c r="C8" s="10" t="s">
        <v>44</v>
      </c>
      <c r="D8" s="11">
        <v>-1.0569868995633183</v>
      </c>
      <c r="E8" s="11">
        <v>-1.1549999999999994</v>
      </c>
      <c r="F8" s="11">
        <v>-1.9</v>
      </c>
      <c r="G8" s="11">
        <v>-0.17999999999999972</v>
      </c>
      <c r="H8" s="11">
        <v>1.7200000000000002</v>
      </c>
    </row>
    <row r="9" spans="1:8">
      <c r="A9" s="10" t="s">
        <v>39</v>
      </c>
      <c r="B9" s="10" t="s">
        <v>58</v>
      </c>
      <c r="C9" s="10" t="s">
        <v>45</v>
      </c>
      <c r="D9" s="11">
        <v>-0.32378260869565217</v>
      </c>
      <c r="E9" s="11">
        <v>-0.85500000000000043</v>
      </c>
      <c r="F9" s="11">
        <v>-1.7875000000000019</v>
      </c>
      <c r="G9" s="11">
        <v>0.66999999999999904</v>
      </c>
      <c r="H9" s="11">
        <v>2.4575000000000009</v>
      </c>
    </row>
    <row r="10" spans="1:8">
      <c r="A10" s="10" t="s">
        <v>39</v>
      </c>
      <c r="B10" s="10" t="s">
        <v>59</v>
      </c>
      <c r="C10" s="10" t="s">
        <v>43</v>
      </c>
      <c r="D10" s="11">
        <v>-3.9384782608695632</v>
      </c>
      <c r="E10" s="11">
        <v>-4.1250000000000009</v>
      </c>
      <c r="F10" s="11">
        <v>-5.5400000000000009</v>
      </c>
      <c r="G10" s="11">
        <v>-2.4500000000000011</v>
      </c>
      <c r="H10" s="11">
        <v>3.09</v>
      </c>
    </row>
    <row r="11" spans="1:8">
      <c r="A11" s="10" t="s">
        <v>39</v>
      </c>
      <c r="B11" s="10" t="s">
        <v>59</v>
      </c>
      <c r="C11" s="10" t="s">
        <v>44</v>
      </c>
      <c r="D11" s="11">
        <v>-2.8817903930131026</v>
      </c>
      <c r="E11" s="11">
        <v>-3.1549999999999994</v>
      </c>
      <c r="F11" s="11">
        <v>-4.7200000000000006</v>
      </c>
      <c r="G11" s="11">
        <v>-1.5049999999999999</v>
      </c>
      <c r="H11" s="11">
        <v>3.2150000000000007</v>
      </c>
    </row>
    <row r="12" spans="1:8">
      <c r="A12" s="10" t="s">
        <v>39</v>
      </c>
      <c r="B12" s="10" t="s">
        <v>59</v>
      </c>
      <c r="C12" s="10" t="s">
        <v>45</v>
      </c>
      <c r="D12" s="11">
        <v>-1.4264782608695652</v>
      </c>
      <c r="E12" s="11">
        <v>-2.42</v>
      </c>
      <c r="F12" s="11">
        <v>-4.2275</v>
      </c>
      <c r="G12" s="11">
        <v>-0.32749999999999968</v>
      </c>
      <c r="H12" s="11">
        <v>3.9000000000000004</v>
      </c>
    </row>
    <row r="13" spans="1:8">
      <c r="A13" s="10" t="s">
        <v>40</v>
      </c>
      <c r="B13" s="10" t="s">
        <v>57</v>
      </c>
      <c r="C13" s="10" t="s">
        <v>43</v>
      </c>
      <c r="D13" s="11">
        <v>-2.2845217391304362</v>
      </c>
      <c r="E13" s="11">
        <v>-2.3900000000000006</v>
      </c>
      <c r="F13" s="11">
        <v>-3.5974999999999997</v>
      </c>
      <c r="G13" s="11">
        <v>-1.1875000000000009</v>
      </c>
      <c r="H13" s="11">
        <v>2.4099999999999988</v>
      </c>
    </row>
    <row r="14" spans="1:8">
      <c r="A14" s="10" t="s">
        <v>40</v>
      </c>
      <c r="B14" s="10" t="s">
        <v>57</v>
      </c>
      <c r="C14" s="10" t="s">
        <v>44</v>
      </c>
      <c r="D14" s="11">
        <v>-1.8280567685589515</v>
      </c>
      <c r="E14" s="11">
        <v>-1.9399999999999995</v>
      </c>
      <c r="F14" s="11">
        <v>-3.4374999999999987</v>
      </c>
      <c r="G14" s="11">
        <v>-0.29749999999999943</v>
      </c>
      <c r="H14" s="11">
        <v>3.1399999999999992</v>
      </c>
    </row>
    <row r="15" spans="1:8">
      <c r="A15" s="10" t="s">
        <v>40</v>
      </c>
      <c r="B15" s="10" t="s">
        <v>57</v>
      </c>
      <c r="C15" s="10" t="s">
        <v>45</v>
      </c>
      <c r="D15" s="11">
        <v>-1.1053913043478254</v>
      </c>
      <c r="E15" s="11">
        <v>-1.6600000000000001</v>
      </c>
      <c r="F15" s="11">
        <v>-3.3749999999999987</v>
      </c>
      <c r="G15" s="11">
        <v>0.20750000000000046</v>
      </c>
      <c r="H15" s="11">
        <v>3.5824999999999991</v>
      </c>
    </row>
    <row r="16" spans="1:8">
      <c r="A16" s="10" t="s">
        <v>40</v>
      </c>
      <c r="B16" s="10" t="s">
        <v>58</v>
      </c>
      <c r="C16" s="10" t="s">
        <v>43</v>
      </c>
      <c r="D16" s="11">
        <v>-1.6661304347826078</v>
      </c>
      <c r="E16" s="11">
        <v>-1.7450000000000001</v>
      </c>
      <c r="F16" s="11">
        <v>-2.5400000000000005</v>
      </c>
      <c r="G16" s="11">
        <v>-0.98749999999999893</v>
      </c>
      <c r="H16" s="11">
        <v>1.5525000000000015</v>
      </c>
    </row>
    <row r="17" spans="1:8">
      <c r="A17" s="10" t="s">
        <v>40</v>
      </c>
      <c r="B17" s="10" t="s">
        <v>58</v>
      </c>
      <c r="C17" s="10" t="s">
        <v>44</v>
      </c>
      <c r="D17" s="11">
        <v>-1.2192794759825314</v>
      </c>
      <c r="E17" s="11">
        <v>-1.1999999999999993</v>
      </c>
      <c r="F17" s="11">
        <v>-1.9974999999999987</v>
      </c>
      <c r="G17" s="11">
        <v>-0.31250000000000178</v>
      </c>
      <c r="H17" s="11">
        <v>1.6849999999999969</v>
      </c>
    </row>
    <row r="18" spans="1:8">
      <c r="A18" s="10" t="s">
        <v>40</v>
      </c>
      <c r="B18" s="10" t="s">
        <v>58</v>
      </c>
      <c r="C18" s="10" t="s">
        <v>45</v>
      </c>
      <c r="D18" s="11">
        <v>2.0739130434782482E-2</v>
      </c>
      <c r="E18" s="11">
        <v>-0.41499999999999915</v>
      </c>
      <c r="F18" s="11">
        <v>-1.5049999999999999</v>
      </c>
      <c r="G18" s="11">
        <v>0.96749999999999936</v>
      </c>
      <c r="H18" s="11">
        <v>2.4724999999999993</v>
      </c>
    </row>
    <row r="19" spans="1:8">
      <c r="A19" s="10" t="s">
        <v>40</v>
      </c>
      <c r="B19" s="10" t="s">
        <v>59</v>
      </c>
      <c r="C19" s="10" t="s">
        <v>43</v>
      </c>
      <c r="D19" s="11">
        <v>-3.9506521739130425</v>
      </c>
      <c r="E19" s="11">
        <v>-4.2650000000000006</v>
      </c>
      <c r="F19" s="11">
        <v>-5.5049999999999999</v>
      </c>
      <c r="G19" s="11">
        <v>-2.7749999999999999</v>
      </c>
      <c r="H19" s="11">
        <v>2.73</v>
      </c>
    </row>
    <row r="20" spans="1:8">
      <c r="A20" s="10" t="s">
        <v>40</v>
      </c>
      <c r="B20" s="10" t="s">
        <v>59</v>
      </c>
      <c r="C20" s="10" t="s">
        <v>44</v>
      </c>
      <c r="D20" s="11">
        <v>-3.0473362445414827</v>
      </c>
      <c r="E20" s="11">
        <v>-3.165</v>
      </c>
      <c r="F20" s="11">
        <v>-4.7574999999999985</v>
      </c>
      <c r="G20" s="11">
        <v>-1.6325000000000007</v>
      </c>
      <c r="H20" s="11">
        <v>3.1249999999999978</v>
      </c>
    </row>
    <row r="21" spans="1:8">
      <c r="A21" s="10" t="s">
        <v>40</v>
      </c>
      <c r="B21" s="10" t="s">
        <v>59</v>
      </c>
      <c r="C21" s="10" t="s">
        <v>45</v>
      </c>
      <c r="D21" s="11">
        <v>-1.0846521739130432</v>
      </c>
      <c r="E21" s="11">
        <v>-2.0750000000000002</v>
      </c>
      <c r="F21" s="11">
        <v>-4.0874999999999986</v>
      </c>
      <c r="G21" s="11">
        <v>0.17999999999999972</v>
      </c>
      <c r="H21" s="11">
        <v>4.2674999999999983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3" topLeftCell="A4" activePane="bottomLeft" state="frozen"/>
      <selection pane="bottomLeft" activeCell="A3" sqref="A3:E15"/>
    </sheetView>
  </sheetViews>
  <sheetFormatPr defaultRowHeight="13.8"/>
  <cols>
    <col min="1" max="1" width="20" customWidth="1"/>
    <col min="2" max="2" width="24" customWidth="1"/>
    <col min="3" max="5" width="20" customWidth="1"/>
  </cols>
  <sheetData>
    <row r="1" spans="1:5" ht="28.05" customHeight="1">
      <c r="A1" s="3" t="s">
        <v>60</v>
      </c>
      <c r="B1" s="3" t="s">
        <v>60</v>
      </c>
      <c r="C1" s="3" t="s">
        <v>60</v>
      </c>
      <c r="D1" s="3" t="s">
        <v>60</v>
      </c>
      <c r="E1" s="3" t="s">
        <v>60</v>
      </c>
    </row>
    <row r="3" spans="1:5">
      <c r="A3" s="7" t="s">
        <v>29</v>
      </c>
      <c r="B3" s="7" t="s">
        <v>61</v>
      </c>
      <c r="C3" s="7" t="s">
        <v>43</v>
      </c>
      <c r="D3" s="7" t="s">
        <v>44</v>
      </c>
      <c r="E3" s="7" t="s">
        <v>45</v>
      </c>
    </row>
    <row r="4" spans="1:5">
      <c r="A4" s="10" t="s">
        <v>39</v>
      </c>
      <c r="B4" s="10" t="s">
        <v>62</v>
      </c>
      <c r="C4" s="11">
        <v>0.81300865926097354</v>
      </c>
      <c r="D4" s="11">
        <v>0.8646362920258398</v>
      </c>
      <c r="E4" s="11">
        <v>0.91840131795185109</v>
      </c>
    </row>
    <row r="5" spans="1:5">
      <c r="A5" s="10" t="s">
        <v>39</v>
      </c>
      <c r="B5" s="10" t="s">
        <v>63</v>
      </c>
      <c r="C5" s="11">
        <v>0.88738530786542791</v>
      </c>
      <c r="D5" s="11">
        <v>0.92761756604968526</v>
      </c>
      <c r="E5" s="11">
        <v>0.95830457527526336</v>
      </c>
    </row>
    <row r="6" spans="1:5">
      <c r="A6" s="10" t="s">
        <v>39</v>
      </c>
      <c r="B6" s="10" t="s">
        <v>64</v>
      </c>
      <c r="C6" s="11">
        <v>0.71567513368983959</v>
      </c>
      <c r="D6" s="11">
        <v>0.80227574021570103</v>
      </c>
      <c r="E6" s="11">
        <v>0.87611697557487678</v>
      </c>
    </row>
    <row r="7" spans="1:5">
      <c r="A7" s="10" t="s">
        <v>39</v>
      </c>
      <c r="B7" s="10" t="s">
        <v>65</v>
      </c>
      <c r="C7" s="11">
        <v>0.29687500000000011</v>
      </c>
      <c r="D7" s="11">
        <v>0.24249999999999994</v>
      </c>
      <c r="E7" s="11">
        <v>0.22687499999999994</v>
      </c>
    </row>
    <row r="8" spans="1:5">
      <c r="A8" s="10" t="s">
        <v>39</v>
      </c>
      <c r="B8" s="10" t="s">
        <v>66</v>
      </c>
      <c r="C8" s="11">
        <v>7.6666666666666633E-2</v>
      </c>
      <c r="D8" s="11">
        <v>5.4999999999999966E-2</v>
      </c>
      <c r="E8" s="11">
        <v>4.0714285714285731E-2</v>
      </c>
    </row>
    <row r="9" spans="1:5">
      <c r="A9" s="10" t="s">
        <v>39</v>
      </c>
      <c r="B9" s="10" t="s">
        <v>67</v>
      </c>
      <c r="C9" s="11">
        <v>0.14224137931034486</v>
      </c>
      <c r="D9" s="11">
        <v>0.10879310344827584</v>
      </c>
      <c r="E9" s="11">
        <v>8.344827586206896E-2</v>
      </c>
    </row>
    <row r="10" spans="1:5">
      <c r="A10" s="10" t="s">
        <v>40</v>
      </c>
      <c r="B10" s="10" t="s">
        <v>62</v>
      </c>
      <c r="C10" s="11">
        <v>0.81300865926097354</v>
      </c>
      <c r="D10" s="11">
        <v>0.86615799375146962</v>
      </c>
      <c r="E10" s="11">
        <v>0.91840131795185109</v>
      </c>
    </row>
    <row r="11" spans="1:5">
      <c r="A11" s="10" t="s">
        <v>40</v>
      </c>
      <c r="B11" s="10" t="s">
        <v>63</v>
      </c>
      <c r="C11" s="11">
        <v>0.88202912098971886</v>
      </c>
      <c r="D11" s="11">
        <v>0.92563258243322344</v>
      </c>
      <c r="E11" s="11">
        <v>0.97603352184496261</v>
      </c>
    </row>
    <row r="12" spans="1:5">
      <c r="A12" s="10" t="s">
        <v>40</v>
      </c>
      <c r="B12" s="10" t="s">
        <v>64</v>
      </c>
      <c r="C12" s="11">
        <v>0.71381660568180039</v>
      </c>
      <c r="D12" s="11">
        <v>0.80409524856279702</v>
      </c>
      <c r="E12" s="11">
        <v>0.89048065958927558</v>
      </c>
    </row>
    <row r="13" spans="1:5">
      <c r="A13" s="10" t="s">
        <v>40</v>
      </c>
      <c r="B13" s="10" t="s">
        <v>65</v>
      </c>
      <c r="C13" s="11">
        <v>0.29875000000000007</v>
      </c>
      <c r="D13" s="11">
        <v>0.24249999999999994</v>
      </c>
      <c r="E13" s="11">
        <v>0.20750000000000002</v>
      </c>
    </row>
    <row r="14" spans="1:5">
      <c r="A14" s="10" t="s">
        <v>40</v>
      </c>
      <c r="B14" s="10" t="s">
        <v>66</v>
      </c>
      <c r="C14" s="11">
        <v>8.3095238095238097E-2</v>
      </c>
      <c r="D14" s="11">
        <v>5.7142857142857106E-2</v>
      </c>
      <c r="E14" s="11">
        <v>1.9761904761904724E-2</v>
      </c>
    </row>
    <row r="15" spans="1:5">
      <c r="A15" s="10" t="s">
        <v>40</v>
      </c>
      <c r="B15" s="10" t="s">
        <v>67</v>
      </c>
      <c r="C15" s="11">
        <v>0.14706896551724141</v>
      </c>
      <c r="D15" s="11">
        <v>0.10913793103448276</v>
      </c>
      <c r="E15" s="11">
        <v>7.1551724137931039E-2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3" topLeftCell="A4" activePane="bottomLeft" state="frozen"/>
      <selection pane="bottomLeft" activeCell="I27" sqref="I27"/>
    </sheetView>
  </sheetViews>
  <sheetFormatPr defaultRowHeight="13.8"/>
  <cols>
    <col min="1" max="5" width="20" customWidth="1"/>
  </cols>
  <sheetData>
    <row r="1" spans="1:5" ht="28.05" customHeight="1">
      <c r="A1" s="3" t="s">
        <v>68</v>
      </c>
      <c r="B1" s="3" t="s">
        <v>68</v>
      </c>
      <c r="C1" s="3" t="s">
        <v>68</v>
      </c>
      <c r="D1" s="3" t="s">
        <v>68</v>
      </c>
      <c r="E1" s="3" t="s">
        <v>68</v>
      </c>
    </row>
    <row r="3" spans="1:5">
      <c r="A3" s="7" t="s">
        <v>29</v>
      </c>
      <c r="B3" s="7" t="s">
        <v>69</v>
      </c>
      <c r="C3" s="7" t="s">
        <v>43</v>
      </c>
      <c r="D3" s="7" t="s">
        <v>44</v>
      </c>
      <c r="E3" s="7" t="s">
        <v>45</v>
      </c>
    </row>
    <row r="4" spans="1:5">
      <c r="A4" s="10" t="s">
        <v>39</v>
      </c>
      <c r="B4" s="10" t="s">
        <v>57</v>
      </c>
      <c r="C4" s="12">
        <v>0.14782608695652175</v>
      </c>
      <c r="D4" s="12">
        <v>0.18340611353711792</v>
      </c>
      <c r="E4" s="12">
        <v>0.29130434782608694</v>
      </c>
    </row>
    <row r="5" spans="1:5">
      <c r="A5" s="10" t="s">
        <v>39</v>
      </c>
      <c r="B5" s="10" t="s">
        <v>58</v>
      </c>
      <c r="C5" s="12">
        <v>9.5652173913043481E-2</v>
      </c>
      <c r="D5" s="12">
        <v>0.19213973799126638</v>
      </c>
      <c r="E5" s="12">
        <v>0.31739130434782609</v>
      </c>
    </row>
    <row r="6" spans="1:5">
      <c r="A6" s="10" t="s">
        <v>39</v>
      </c>
      <c r="B6" s="10" t="s">
        <v>59</v>
      </c>
      <c r="C6" s="12">
        <v>6.5217391304347824E-2</v>
      </c>
      <c r="D6" s="12">
        <v>0.1331877729257642</v>
      </c>
      <c r="E6" s="12">
        <v>0.24347826086956523</v>
      </c>
    </row>
    <row r="7" spans="1:5">
      <c r="A7" s="10" t="s">
        <v>39</v>
      </c>
      <c r="B7" s="10" t="s">
        <v>70</v>
      </c>
      <c r="C7" s="12">
        <v>2.1739130434782608E-2</v>
      </c>
      <c r="D7" s="12">
        <v>4.3668122270742356E-2</v>
      </c>
      <c r="E7" s="12">
        <v>0.11739130434782609</v>
      </c>
    </row>
    <row r="8" spans="1:5">
      <c r="A8" s="10" t="s">
        <v>40</v>
      </c>
      <c r="B8" s="10" t="s">
        <v>57</v>
      </c>
      <c r="C8" s="12">
        <v>0.14782608695652175</v>
      </c>
      <c r="D8" s="12">
        <v>0.18995633187772926</v>
      </c>
      <c r="E8" s="12">
        <v>0.27826086956521739</v>
      </c>
    </row>
    <row r="9" spans="1:5">
      <c r="A9" s="10" t="s">
        <v>40</v>
      </c>
      <c r="B9" s="10" t="s">
        <v>58</v>
      </c>
      <c r="C9" s="12">
        <v>8.6956521739130432E-2</v>
      </c>
      <c r="D9" s="12">
        <v>0.16157205240174671</v>
      </c>
      <c r="E9" s="12">
        <v>0.38695652173913042</v>
      </c>
    </row>
    <row r="10" spans="1:5">
      <c r="A10" s="10" t="s">
        <v>40</v>
      </c>
      <c r="B10" s="10" t="s">
        <v>59</v>
      </c>
      <c r="C10" s="12">
        <v>7.3913043478260873E-2</v>
      </c>
      <c r="D10" s="12">
        <v>0.11572052401746726</v>
      </c>
      <c r="E10" s="12">
        <v>0.26956521739130435</v>
      </c>
    </row>
    <row r="11" spans="1:5">
      <c r="A11" s="10" t="s">
        <v>40</v>
      </c>
      <c r="B11" s="10" t="s">
        <v>70</v>
      </c>
      <c r="C11" s="12">
        <v>2.6086956521739129E-2</v>
      </c>
      <c r="D11" s="12">
        <v>3.0567685589519649E-2</v>
      </c>
      <c r="E11" s="12">
        <v>0.1391304347826087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3" topLeftCell="A4" activePane="bottomLeft" state="frozen"/>
      <selection pane="bottomLeft" activeCell="A34" sqref="A33:A34"/>
    </sheetView>
  </sheetViews>
  <sheetFormatPr defaultRowHeight="13.8"/>
  <cols>
    <col min="1" max="4" width="24" customWidth="1"/>
  </cols>
  <sheetData>
    <row r="1" spans="1:4" ht="28.05" customHeight="1">
      <c r="A1" s="3" t="s">
        <v>71</v>
      </c>
      <c r="B1" s="3" t="s">
        <v>71</v>
      </c>
      <c r="C1" s="3" t="s">
        <v>71</v>
      </c>
      <c r="D1" s="3" t="s">
        <v>71</v>
      </c>
    </row>
    <row r="3" spans="1:4">
      <c r="A3" s="4" t="s">
        <v>50</v>
      </c>
      <c r="B3" s="4" t="s">
        <v>72</v>
      </c>
      <c r="C3" s="4" t="s">
        <v>73</v>
      </c>
      <c r="D3" s="4" t="s">
        <v>74</v>
      </c>
    </row>
    <row r="4" spans="1:4">
      <c r="A4" s="10" t="s">
        <v>57</v>
      </c>
      <c r="B4" s="10" t="s">
        <v>75</v>
      </c>
      <c r="C4" s="11">
        <v>-0.43500000000000139</v>
      </c>
      <c r="D4" s="11">
        <v>-0.45000000000000107</v>
      </c>
    </row>
    <row r="5" spans="1:4">
      <c r="A5" s="10" t="s">
        <v>57</v>
      </c>
      <c r="B5" s="10" t="s">
        <v>76</v>
      </c>
      <c r="C5" s="11">
        <v>0.125</v>
      </c>
      <c r="D5" s="11">
        <v>0.27999999999999936</v>
      </c>
    </row>
    <row r="6" spans="1:4">
      <c r="A6" s="10" t="s">
        <v>58</v>
      </c>
      <c r="B6" s="10" t="s">
        <v>75</v>
      </c>
      <c r="C6" s="11">
        <v>-0.45500000000000007</v>
      </c>
      <c r="D6" s="11">
        <v>-0.54500000000000082</v>
      </c>
    </row>
    <row r="7" spans="1:4">
      <c r="A7" s="10" t="s">
        <v>58</v>
      </c>
      <c r="B7" s="10" t="s">
        <v>76</v>
      </c>
      <c r="C7" s="11">
        <v>0.29999999999999893</v>
      </c>
      <c r="D7" s="11">
        <v>0.78500000000000014</v>
      </c>
    </row>
    <row r="8" spans="1:4">
      <c r="A8" s="10" t="s">
        <v>59</v>
      </c>
      <c r="B8" s="10" t="s">
        <v>75</v>
      </c>
      <c r="C8" s="11">
        <v>-0.97000000000000153</v>
      </c>
      <c r="D8" s="11">
        <v>-1.1000000000000005</v>
      </c>
    </row>
    <row r="9" spans="1:4">
      <c r="A9" s="10" t="s">
        <v>59</v>
      </c>
      <c r="B9" s="10" t="s">
        <v>76</v>
      </c>
      <c r="C9" s="11">
        <v>0.73499999999999943</v>
      </c>
      <c r="D9" s="11">
        <v>1.0899999999999999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>
      <pane ySplit="3" topLeftCell="A6" activePane="bottomLeft" state="frozen"/>
      <selection pane="bottomLeft" activeCell="I9" sqref="I9"/>
    </sheetView>
  </sheetViews>
  <sheetFormatPr defaultRowHeight="13.8"/>
  <cols>
    <col min="1" max="1" width="22" customWidth="1"/>
    <col min="2" max="2" width="48" customWidth="1"/>
    <col min="3" max="3" width="30" customWidth="1"/>
    <col min="4" max="4" width="46" customWidth="1"/>
  </cols>
  <sheetData>
    <row r="1" spans="1:4" ht="28.05" customHeight="1">
      <c r="A1" s="3" t="s">
        <v>77</v>
      </c>
      <c r="B1" s="3" t="s">
        <v>77</v>
      </c>
      <c r="C1" s="3" t="s">
        <v>77</v>
      </c>
      <c r="D1" s="3" t="s">
        <v>77</v>
      </c>
    </row>
    <row r="3" spans="1:4">
      <c r="A3" s="7" t="s">
        <v>78</v>
      </c>
      <c r="B3" s="7" t="s">
        <v>79</v>
      </c>
      <c r="C3" s="7" t="s">
        <v>80</v>
      </c>
      <c r="D3" s="7" t="s">
        <v>81</v>
      </c>
    </row>
    <row r="4" spans="1:4" ht="27.6">
      <c r="A4" s="5" t="s">
        <v>156</v>
      </c>
      <c r="B4" s="6" t="s">
        <v>82</v>
      </c>
      <c r="C4" s="6" t="s">
        <v>83</v>
      </c>
      <c r="D4" s="6" t="s">
        <v>84</v>
      </c>
    </row>
    <row r="5" spans="1:4" ht="27.6">
      <c r="A5" s="5" t="s">
        <v>157</v>
      </c>
      <c r="B5" s="6" t="s">
        <v>85</v>
      </c>
      <c r="C5" s="6" t="s">
        <v>86</v>
      </c>
      <c r="D5" s="6" t="s">
        <v>87</v>
      </c>
    </row>
    <row r="6" spans="1:4" ht="27.6">
      <c r="A6" s="5" t="s">
        <v>158</v>
      </c>
      <c r="B6" s="6" t="s">
        <v>88</v>
      </c>
      <c r="C6" s="6" t="s">
        <v>86</v>
      </c>
      <c r="D6" s="6" t="s">
        <v>84</v>
      </c>
    </row>
    <row r="7" spans="1:4" ht="27.6">
      <c r="A7" s="5" t="s">
        <v>159</v>
      </c>
      <c r="B7" s="6" t="s">
        <v>89</v>
      </c>
      <c r="C7" s="6" t="s">
        <v>86</v>
      </c>
      <c r="D7" s="6" t="s">
        <v>84</v>
      </c>
    </row>
    <row r="8" spans="1:4">
      <c r="A8" s="5" t="s">
        <v>160</v>
      </c>
      <c r="B8" s="6" t="s">
        <v>90</v>
      </c>
      <c r="C8" s="6" t="s">
        <v>91</v>
      </c>
      <c r="D8" s="6" t="s">
        <v>92</v>
      </c>
    </row>
    <row r="9" spans="1:4" ht="27.6">
      <c r="A9" s="5" t="s">
        <v>161</v>
      </c>
      <c r="B9" s="6" t="s">
        <v>93</v>
      </c>
      <c r="C9" s="6" t="s">
        <v>94</v>
      </c>
      <c r="D9" s="6" t="s">
        <v>95</v>
      </c>
    </row>
    <row r="10" spans="1:4" ht="27.6">
      <c r="A10" s="5" t="s">
        <v>162</v>
      </c>
      <c r="B10" s="6" t="s">
        <v>96</v>
      </c>
      <c r="C10" s="6" t="s">
        <v>94</v>
      </c>
      <c r="D10" s="6" t="s">
        <v>97</v>
      </c>
    </row>
    <row r="11" spans="1:4" ht="27.6">
      <c r="A11" s="5" t="s">
        <v>163</v>
      </c>
      <c r="B11" s="6" t="s">
        <v>98</v>
      </c>
      <c r="C11" s="6" t="s">
        <v>99</v>
      </c>
      <c r="D11" s="6" t="s">
        <v>100</v>
      </c>
    </row>
    <row r="12" spans="1:4" ht="27.6">
      <c r="A12" s="5" t="s">
        <v>164</v>
      </c>
      <c r="B12" s="6" t="s">
        <v>98</v>
      </c>
      <c r="C12" s="6" t="s">
        <v>99</v>
      </c>
      <c r="D12" s="6" t="s">
        <v>100</v>
      </c>
    </row>
    <row r="13" spans="1:4">
      <c r="A13" s="5" t="s">
        <v>166</v>
      </c>
      <c r="B13" s="6" t="s">
        <v>101</v>
      </c>
      <c r="C13" s="6" t="s">
        <v>86</v>
      </c>
      <c r="D13" s="6" t="s">
        <v>102</v>
      </c>
    </row>
    <row r="14" spans="1:4">
      <c r="A14" s="5" t="s">
        <v>165</v>
      </c>
      <c r="B14" s="6" t="s">
        <v>103</v>
      </c>
      <c r="C14" s="6" t="s">
        <v>86</v>
      </c>
      <c r="D14" s="6" t="s">
        <v>102</v>
      </c>
    </row>
    <row r="15" spans="1:4" ht="27.6">
      <c r="A15" s="5" t="s">
        <v>167</v>
      </c>
      <c r="B15" s="6" t="s">
        <v>104</v>
      </c>
      <c r="C15" s="6" t="s">
        <v>86</v>
      </c>
      <c r="D15" s="6" t="s">
        <v>105</v>
      </c>
    </row>
    <row r="16" spans="1:4">
      <c r="A16" s="5" t="s">
        <v>168</v>
      </c>
      <c r="B16" s="6" t="s">
        <v>106</v>
      </c>
      <c r="C16" s="6" t="s">
        <v>107</v>
      </c>
      <c r="D16" s="6" t="s">
        <v>108</v>
      </c>
    </row>
    <row r="17" spans="1:4">
      <c r="A17" s="5" t="s">
        <v>169</v>
      </c>
      <c r="B17" s="6" t="s">
        <v>109</v>
      </c>
      <c r="C17" s="6" t="s">
        <v>107</v>
      </c>
      <c r="D17" s="6" t="s">
        <v>108</v>
      </c>
    </row>
    <row r="18" spans="1:4">
      <c r="A18" s="5" t="s">
        <v>170</v>
      </c>
      <c r="B18" s="6" t="s">
        <v>110</v>
      </c>
      <c r="C18" s="6" t="s">
        <v>107</v>
      </c>
      <c r="D18" s="6" t="s">
        <v>108</v>
      </c>
    </row>
    <row r="19" spans="1:4" ht="27.6">
      <c r="A19" s="5" t="s">
        <v>171</v>
      </c>
      <c r="B19" s="6" t="s">
        <v>111</v>
      </c>
      <c r="C19" s="6" t="s">
        <v>112</v>
      </c>
      <c r="D19" s="6" t="s">
        <v>113</v>
      </c>
    </row>
    <row r="20" spans="1:4">
      <c r="A20" s="5" t="s">
        <v>172</v>
      </c>
      <c r="B20" s="6" t="s">
        <v>114</v>
      </c>
      <c r="C20" s="6" t="s">
        <v>112</v>
      </c>
      <c r="D20" s="6" t="s">
        <v>115</v>
      </c>
    </row>
    <row r="21" spans="1:4">
      <c r="A21" s="5" t="s">
        <v>173</v>
      </c>
      <c r="B21" s="6" t="s">
        <v>116</v>
      </c>
      <c r="C21" s="6" t="s">
        <v>112</v>
      </c>
      <c r="D21" s="6" t="s">
        <v>115</v>
      </c>
    </row>
    <row r="22" spans="1:4">
      <c r="A22" s="5" t="s">
        <v>174</v>
      </c>
      <c r="B22" s="6" t="s">
        <v>117</v>
      </c>
      <c r="C22" s="6" t="s">
        <v>118</v>
      </c>
      <c r="D22" s="6" t="s">
        <v>119</v>
      </c>
    </row>
    <row r="23" spans="1:4">
      <c r="A23" s="5" t="s">
        <v>175</v>
      </c>
      <c r="B23" s="6" t="s">
        <v>120</v>
      </c>
      <c r="C23" s="6" t="s">
        <v>118</v>
      </c>
      <c r="D23" s="6" t="s">
        <v>119</v>
      </c>
    </row>
    <row r="24" spans="1:4">
      <c r="A24" s="5" t="s">
        <v>176</v>
      </c>
      <c r="B24" s="6" t="s">
        <v>121</v>
      </c>
      <c r="C24" s="6" t="s">
        <v>118</v>
      </c>
      <c r="D24" s="6" t="s">
        <v>119</v>
      </c>
    </row>
    <row r="25" spans="1:4">
      <c r="A25" s="5" t="s">
        <v>177</v>
      </c>
      <c r="B25" s="6" t="s">
        <v>122</v>
      </c>
      <c r="C25" s="6" t="s">
        <v>118</v>
      </c>
      <c r="D25" s="6" t="s">
        <v>123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abSelected="1" workbookViewId="0">
      <pane ySplit="3" topLeftCell="A5" activePane="bottomLeft" state="frozen"/>
      <selection pane="bottomLeft" activeCell="C6" sqref="C6"/>
    </sheetView>
  </sheetViews>
  <sheetFormatPr defaultRowHeight="13.8"/>
  <cols>
    <col min="1" max="1" width="24" customWidth="1"/>
    <col min="2" max="2" width="34" customWidth="1"/>
    <col min="3" max="3" width="70" customWidth="1"/>
    <col min="4" max="4" width="48" customWidth="1"/>
  </cols>
  <sheetData>
    <row r="1" spans="1:4" ht="28.05" customHeight="1">
      <c r="A1" s="3" t="s">
        <v>124</v>
      </c>
      <c r="B1" s="3" t="s">
        <v>124</v>
      </c>
      <c r="C1" s="3" t="s">
        <v>124</v>
      </c>
      <c r="D1" s="3" t="s">
        <v>124</v>
      </c>
    </row>
    <row r="3" spans="1:4">
      <c r="A3" s="4" t="s">
        <v>125</v>
      </c>
      <c r="B3" s="4" t="s">
        <v>126</v>
      </c>
      <c r="C3" s="4" t="s">
        <v>127</v>
      </c>
      <c r="D3" s="4" t="s">
        <v>128</v>
      </c>
    </row>
    <row r="4" spans="1:4" ht="27.6">
      <c r="A4" s="6" t="s">
        <v>129</v>
      </c>
      <c r="B4" s="6" t="s">
        <v>130</v>
      </c>
      <c r="C4" s="6" t="s">
        <v>131</v>
      </c>
      <c r="D4" s="6" t="s">
        <v>132</v>
      </c>
    </row>
    <row r="5" spans="1:4">
      <c r="A5" s="6" t="s">
        <v>133</v>
      </c>
      <c r="B5" s="6" t="s">
        <v>134</v>
      </c>
      <c r="C5" s="6" t="s">
        <v>135</v>
      </c>
      <c r="D5" s="6" t="s">
        <v>136</v>
      </c>
    </row>
    <row r="6" spans="1:4" ht="27.6">
      <c r="A6" s="6" t="s">
        <v>137</v>
      </c>
      <c r="B6" s="6" t="s">
        <v>138</v>
      </c>
      <c r="C6" s="6" t="s">
        <v>139</v>
      </c>
      <c r="D6" s="6" t="s">
        <v>140</v>
      </c>
    </row>
    <row r="7" spans="1:4" ht="27.6">
      <c r="A7" s="6" t="s">
        <v>137</v>
      </c>
      <c r="B7" s="6" t="s">
        <v>141</v>
      </c>
      <c r="C7" s="6" t="s">
        <v>142</v>
      </c>
      <c r="D7" s="6" t="s">
        <v>140</v>
      </c>
    </row>
    <row r="8" spans="1:4" ht="27.6">
      <c r="A8" s="6" t="s">
        <v>137</v>
      </c>
      <c r="B8" s="6" t="s">
        <v>143</v>
      </c>
      <c r="C8" s="6" t="s">
        <v>144</v>
      </c>
      <c r="D8" s="6" t="s">
        <v>145</v>
      </c>
    </row>
    <row r="9" spans="1:4" ht="27.6">
      <c r="A9" s="6" t="s">
        <v>146</v>
      </c>
      <c r="B9" s="6" t="s">
        <v>147</v>
      </c>
      <c r="C9" s="6" t="s">
        <v>148</v>
      </c>
      <c r="D9" s="6" t="s">
        <v>149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Project Guide</vt:lpstr>
      <vt:lpstr>Regime Summary</vt:lpstr>
      <vt:lpstr>Spread Statistics</vt:lpstr>
      <vt:lpstr>Ratios Slopes</vt:lpstr>
      <vt:lpstr>Inversion Frequencies</vt:lpstr>
      <vt:lpstr>Sensitivity Contrasts</vt:lpstr>
      <vt:lpstr>Data 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 Mancinelli</cp:lastModifiedBy>
  <dcterms:modified xsi:type="dcterms:W3CDTF">2026-10-19T10:22:22Z</dcterms:modified>
</cp:coreProperties>
</file>